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善要望リスト" sheetId="1" state="visible" r:id="rId1"/>
    <sheet name="集計" sheetId="2" state="visible" r:id="rId2"/>
  </sheets>
  <definedNames>
    <definedName name="_xlnm._FilterDatabase" localSheetId="0" hidden="1">'改善要望リスト'!$A$3:$G$57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 UI"/>
      <b val="1"/>
      <color rgb="00FFFFFF"/>
      <sz val="13"/>
    </font>
    <font>
      <name val="Meiryo UI"/>
      <i val="1"/>
      <color rgb="00404040"/>
      <sz val="9"/>
    </font>
    <font>
      <name val="Meiryo UI"/>
      <b val="1"/>
      <color rgb="00FFFFFF"/>
      <sz val="10"/>
    </font>
    <font>
      <name val="Meiryo UI"/>
      <color rgb="001A1A1A"/>
      <sz val="10"/>
    </font>
    <font>
      <name val="Meiryo UI"/>
      <b val="1"/>
      <color rgb="001A1A1A"/>
      <sz val="10"/>
    </font>
    <font>
      <name val="Meiryo UI"/>
      <b val="1"/>
      <color rgb="00808080"/>
      <sz val="11"/>
    </font>
    <font>
      <name val="Meiryo UI"/>
      <b val="1"/>
      <color rgb="002E7D32"/>
      <sz val="11"/>
    </font>
    <font>
      <name val="Meiryo UI"/>
      <b val="1"/>
      <color rgb="001565C0"/>
      <sz val="11"/>
    </font>
    <font>
      <name val="Meiryo UI"/>
      <b val="1"/>
      <color rgb="00B26A00"/>
      <sz val="11"/>
    </font>
    <font>
      <name val="Meiryo UI"/>
      <b val="1"/>
      <sz val="12"/>
    </font>
    <font>
      <name val="Meiryo U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5F8FB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11" fillId="5" borderId="1" pivotButton="0" quotePrefix="0" xfId="0"/>
    <xf numFmtId="0" fontId="4" fillId="0" borderId="1" applyAlignment="1" pivotButton="0" quotePrefix="0" xfId="0">
      <alignment horizontal="center"/>
    </xf>
    <xf numFmtId="0" fontId="11" fillId="7" borderId="1" pivotButton="0" quotePrefix="0" xfId="0"/>
    <xf numFmtId="0" fontId="11" fillId="8" borderId="1" pivotButton="0" quotePrefix="0" xfId="0"/>
    <xf numFmtId="0" fontId="11" fillId="9" borderId="1" pivotButton="0" quotePrefix="0" xfId="0"/>
    <xf numFmtId="0" fontId="11" fillId="0" borderId="1" pivotButton="0" quotePrefix="0" xfId="0"/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46" customWidth="1" min="4" max="4"/>
    <col width="52" customWidth="1" min="5" max="5"/>
    <col width="9" customWidth="1" min="6" max="6"/>
    <col width="20" customWidth="1" min="7" max="7"/>
  </cols>
  <sheetData>
    <row r="1" ht="28" customHeight="1">
      <c r="A1" s="1" t="inlineStr">
        <is>
          <t>SPDM 改善要望リスト（v5.5 本番導入 2026-06-25 以降 ／ v5.6・v5.7・v5.8 対応分）</t>
        </is>
      </c>
    </row>
    <row r="2" ht="18" customHeight="1">
      <c r="A2" s="2" t="inlineStr">
        <is>
          <t>凡例: ✓=完了  △=部分/緩和  ▷=中長期  ―=対応不要（本人指定）　／　該当タブ外の横断項目は「全般」（⚙設定・計算中核・真値整合等）</t>
        </is>
      </c>
    </row>
    <row r="3" ht="34" customHeight="1">
      <c r="A3" s="3" t="inlineStr">
        <is>
          <t>No.</t>
        </is>
      </c>
      <c r="B3" s="3" t="inlineStr">
        <is>
          <t>機能大分類</t>
        </is>
      </c>
      <c r="C3" s="3" t="inlineStr">
        <is>
          <t>該当タブ
（新規実行/WR管理/2軸グラフ）</t>
        </is>
      </c>
      <c r="D3" s="3" t="inlineStr">
        <is>
          <t>改善要望内容</t>
        </is>
      </c>
      <c r="E3" s="3" t="inlineStr">
        <is>
          <t>改善結果</t>
        </is>
      </c>
      <c r="F3" s="3" t="inlineStr">
        <is>
          <t>完了有無
チェック</t>
        </is>
      </c>
      <c r="G3" s="3" t="inlineStr">
        <is>
          <t>備考</t>
        </is>
      </c>
    </row>
    <row r="4">
      <c r="A4" s="4" t="n">
        <v>1</v>
      </c>
      <c r="B4" s="5" t="inlineStr">
        <is>
          <t>探索設定</t>
        </is>
      </c>
      <c r="C4" s="6" t="inlineStr">
        <is>
          <t>新規実行</t>
        </is>
      </c>
      <c r="D4" s="5" t="inlineStr">
        <is>
          <t>プルダウン（機種・探索種類等）に名称を付けてほしい</t>
        </is>
      </c>
      <c r="E4" s="5" t="inlineStr">
        <is>
          <t>探索実行トップの各プルダウンに名称ラベルを付与（本人指定により対応方針確定）</t>
        </is>
      </c>
      <c r="F4" s="7" t="inlineStr">
        <is>
          <t>―</t>
        </is>
      </c>
      <c r="G4" s="5" t="inlineStr">
        <is>
          <t>ISSUE-001 / v5.6</t>
        </is>
      </c>
    </row>
    <row r="5">
      <c r="A5" s="8" t="n">
        <v>2</v>
      </c>
      <c r="B5" s="9" t="inlineStr">
        <is>
          <t>探索設定</t>
        </is>
      </c>
      <c r="C5" s="6" t="inlineStr">
        <is>
          <t>新規実行</t>
        </is>
      </c>
      <c r="D5" s="9" t="inlineStr">
        <is>
          <t>固定値リストは未使用のため既定で非表示にしたい</t>
        </is>
      </c>
      <c r="E5" s="9" t="inlineStr">
        <is>
          <t>固定値リストは既定非表示のまま維持。L0制約のみ既定表示へ分離</t>
        </is>
      </c>
      <c r="F5" s="10" t="inlineStr">
        <is>
          <t>✓</t>
        </is>
      </c>
      <c r="G5" s="9" t="inlineStr">
        <is>
          <t>ISSUE-020 / v5.7</t>
        </is>
      </c>
    </row>
    <row r="6">
      <c r="A6" s="4" t="n">
        <v>3</v>
      </c>
      <c r="B6" s="5" t="inlineStr">
        <is>
          <t>探索設定</t>
        </is>
      </c>
      <c r="C6" s="6" t="inlineStr">
        <is>
          <t>新規実行</t>
        </is>
      </c>
      <c r="D6" s="5" t="inlineStr">
        <is>
          <t>制約条件タブをデフォルト表示にしてほしい</t>
        </is>
      </c>
      <c r="E6" s="5" t="inlineStr">
        <is>
          <t>L0制約条件を既定表示に変更</t>
        </is>
      </c>
      <c r="F6" s="11" t="inlineStr">
        <is>
          <t>✓</t>
        </is>
      </c>
      <c r="G6" s="5" t="inlineStr">
        <is>
          <t>ISSUE-021 / v5.7</t>
        </is>
      </c>
    </row>
    <row r="7">
      <c r="A7" s="8" t="n">
        <v>4</v>
      </c>
      <c r="B7" s="9" t="inlineStr">
        <is>
          <t>離散変数</t>
        </is>
      </c>
      <c r="C7" s="6" t="inlineStr">
        <is>
          <t>新規実行</t>
        </is>
      </c>
      <c r="D7" s="9" t="inlineStr">
        <is>
          <t>缶径・巻芯径・缶厚み等の離散値の入力方法（`;`区切り等）</t>
        </is>
      </c>
      <c r="E7" s="9" t="inlineStr">
        <is>
          <t>`;`区切りは上下限化するため不採用。pyoptislang ORDINALDISCRETE_VALUE / discrete_states で離散認識・ref値スナップ</t>
        </is>
      </c>
      <c r="F7" s="10" t="inlineStr">
        <is>
          <t>✓</t>
        </is>
      </c>
      <c r="G7" s="9" t="inlineStr">
        <is>
          <t>ISSUE-022 / REQ-W08 / v5.7</t>
        </is>
      </c>
    </row>
    <row r="8">
      <c r="A8" s="4" t="n">
        <v>5</v>
      </c>
      <c r="B8" s="5" t="inlineStr">
        <is>
          <t>探索設定</t>
        </is>
      </c>
      <c r="C8" s="6" t="inlineStr">
        <is>
          <t>新規実行</t>
        </is>
      </c>
      <c r="D8" s="5" t="inlineStr">
        <is>
          <r>
            <t xml:space="preserve">2回目探索前に上下限を自動更新したい
</t>
          </r>
          <r>
            <rPr>
              <b val="1"/>
              <color rgb="FFFF0000"/>
            </rPr>
            <t>【安倍確認】csvファイルに値が入っていないように見られる（PCP_result_*.csv を2回目探索前に編集→アプリ内入力を直して再実行→変数リスト→上下限値自動更新という認識だが、そもそも値が空）。</t>
          </r>
        </is>
      </c>
      <c r="E8" s="5" t="inlineStr">
        <is>
          <t>PCP_result_*.csv から上下限範囲を自動反映（複数デザインで動作検証）</t>
        </is>
      </c>
      <c r="F8" s="11" t="inlineStr">
        <is>
          <t>✓</t>
        </is>
      </c>
      <c r="G8" s="5" t="inlineStr">
        <is>
          <t>ISSUE-023 / v5.7</t>
        </is>
      </c>
    </row>
    <row r="9">
      <c r="A9" s="8" t="n">
        <v>6</v>
      </c>
      <c r="B9" s="9" t="inlineStr">
        <is>
          <t>CSV整合</t>
        </is>
      </c>
      <c r="C9" s="6" t="inlineStr">
        <is>
          <t>新規実行</t>
        </is>
      </c>
      <c r="D9" s="9" t="inlineStr">
        <is>
          <t>CSV（変数リスト）の変更箇所を色でハイライトしてほしい</t>
        </is>
      </c>
      <c r="E9" s="9" t="inlineStr">
        <is>
          <t>探索設定の読込時ベースラインとの差分行を色ハイライト（設計シート取込で基準リセット）</t>
        </is>
      </c>
      <c r="F9" s="10" t="inlineStr">
        <is>
          <t>✓</t>
        </is>
      </c>
      <c r="G9" s="9" t="inlineStr">
        <is>
          <t>ISSUE-026 / v5.7</t>
        </is>
      </c>
    </row>
    <row r="10">
      <c r="A10" s="4" t="n">
        <v>7</v>
      </c>
      <c r="B10" s="5" t="inlineStr">
        <is>
          <t>CSV整合</t>
        </is>
      </c>
      <c r="C10" s="6" t="inlineStr">
        <is>
          <t>新規実行</t>
        </is>
      </c>
      <c r="D10" s="5" t="inlineStr">
        <is>
          <r>
            <t xml:space="preserve">CSV変更後のWRフォルダ/パス整合、3種欄への自動反映
</t>
          </r>
          <r>
            <rPr>
              <b val="1"/>
              <color rgb="FFFF0000"/>
            </rPr>
            <t>【安倍確認】確認方法がわかりませんでした。</t>
          </r>
        </is>
      </c>
      <c r="E10" s="5" t="inlineStr">
        <is>
          <t>再実行のcsv生成でinput/へ3種CSV格納・3欄(VARIABLE/.opf/L0)へ自動反映＋反映欄を持続ハイライト</t>
        </is>
      </c>
      <c r="F10" s="11" t="inlineStr">
        <is>
          <t>✓</t>
        </is>
      </c>
      <c r="G10" s="5" t="inlineStr">
        <is>
          <t>ISSUE-027 / v5.7</t>
        </is>
      </c>
    </row>
    <row r="11">
      <c r="A11" s="8" t="n">
        <v>8</v>
      </c>
      <c r="B11" s="9" t="inlineStr">
        <is>
          <t>再実行系</t>
        </is>
      </c>
      <c r="C11" s="6" t="inlineStr">
        <is>
          <t>新規実行</t>
        </is>
      </c>
      <c r="D11" s="9" t="inlineStr">
        <is>
          <t>再実行時にタイトル・プルダウン（機種/探索種類/担当者/開発種類）を変更したい</t>
        </is>
      </c>
      <c r="E11" s="9" t="inlineStr">
        <is>
          <t>再実行前にメタ編集ダイアログを追加。再実行系すべての実行前並びを探索実行トップと統一</t>
        </is>
      </c>
      <c r="F11" s="10" t="inlineStr">
        <is>
          <t>✓</t>
        </is>
      </c>
      <c r="G11" s="9" t="inlineStr">
        <is>
          <t>ISSUE-030 / v5.7</t>
        </is>
      </c>
    </row>
    <row r="12">
      <c r="A12" s="4" t="n">
        <v>9</v>
      </c>
      <c r="B12" s="5" t="inlineStr">
        <is>
          <t>再実行系</t>
        </is>
      </c>
      <c r="C12" s="6" t="inlineStr">
        <is>
          <t>新規実行</t>
        </is>
      </c>
      <c r="D12" s="5" t="inlineStr">
        <is>
          <t>ツリー（樹形図）から直接再実行したい</t>
        </is>
      </c>
      <c r="E12" s="5" t="inlineStr">
        <is>
          <t>WR詳細の樹形図ノード右クリック→WR操作メニュー（再実行含む）を追加。ツリー直起動の完全対応は中長期</t>
        </is>
      </c>
      <c r="F12" s="12" t="inlineStr">
        <is>
          <t>▷</t>
        </is>
      </c>
      <c r="G12" s="5" t="inlineStr">
        <is>
          <t>ISSUE-031/032 / v5.7〜</t>
        </is>
      </c>
    </row>
    <row r="13">
      <c r="A13" s="8" t="n">
        <v>10</v>
      </c>
      <c r="B13" s="9" t="inlineStr">
        <is>
          <t>再実行系</t>
        </is>
      </c>
      <c r="C13" s="6" t="inlineStr">
        <is>
          <t>新規実行</t>
        </is>
      </c>
      <c r="D13" s="9" t="inlineStr">
        <is>
          <t>『入力を直して再実行』の操作性改善（設定/変数/制約が入り混じり分かりにくい）</t>
        </is>
      </c>
      <c r="E13" s="9" t="inlineStr">
        <is>
          <t>案Aへ全面刷新：3セグメント[①設定項目/②変数リスト/③L0制約条件]＋文脈ツールバー＋固定フッター。②でCSV生成→新規WRを自動生成→①へ自動遷移し、変更されたCSV3欄を黄ハイライト</t>
        </is>
      </c>
      <c r="F13" s="10" t="inlineStr">
        <is>
          <t>✓</t>
        </is>
      </c>
      <c r="G13" s="9" t="inlineStr">
        <is>
          <t>案A / v5.8</t>
        </is>
      </c>
    </row>
    <row r="14">
      <c r="A14" s="4" t="n">
        <v>11</v>
      </c>
      <c r="B14" s="5" t="inlineStr">
        <is>
          <t>配布/メタ管理</t>
        </is>
      </c>
      <c r="C14" s="6" t="inlineStr">
        <is>
          <t>新規実行</t>
        </is>
      </c>
      <c r="D14" s="5" t="inlineStr">
        <is>
          <t>CSV生成時に派生WRを自動生成し履歴格納したい</t>
        </is>
      </c>
      <c r="E14" s="5" t="inlineStr">
        <is>
          <t>csv生成時に派生WRを自動生成し input/&lt;生成日時&gt;/ へ3セットCSV(variable/fixed/criteria)を格納（変数CSV取込＋制約継承）</t>
        </is>
      </c>
      <c r="F14" s="11" t="inlineStr">
        <is>
          <t>✓</t>
        </is>
      </c>
      <c r="G14" s="5" t="inlineStr">
        <is>
          <t>要望A / v5.7〜5.8</t>
        </is>
      </c>
    </row>
    <row r="15">
      <c r="A15" s="8" t="n">
        <v>12</v>
      </c>
      <c r="B15" s="9" t="inlineStr">
        <is>
          <t>実行基盤</t>
        </is>
      </c>
      <c r="C15" s="6" t="inlineStr">
        <is>
          <t>新規実行</t>
        </is>
      </c>
      <c r="D15" s="9" t="inlineStr">
        <is>
          <t>必要な計算コア数を確認・設定したい</t>
        </is>
      </c>
      <c r="E15" s="9" t="inlineStr">
        <is>
          <t>⚙設定＞探索実行設定に『optiSLang 計算コア数』を追加（既定2）。論理コア数も表示。以後spawnするoptiSLangが継承・永続化</t>
        </is>
      </c>
      <c r="F15" s="10" t="inlineStr">
        <is>
          <t>✓</t>
        </is>
      </c>
      <c r="G15" s="9" t="inlineStr">
        <is>
          <t>REQ-W01 / v5.6〜5.7</t>
        </is>
      </c>
    </row>
    <row r="16">
      <c r="A16" s="4" t="n">
        <v>13</v>
      </c>
      <c r="B16" s="5" t="inlineStr">
        <is>
          <t>障害修正</t>
        </is>
      </c>
      <c r="C16" s="6" t="inlineStr">
        <is>
          <t>新規実行</t>
        </is>
      </c>
      <c r="D16" s="5" t="inlineStr">
        <is>
          <t>csvファイル生成でエラー（KeyError 'english_name'）が出て生成できない</t>
        </is>
      </c>
      <c r="E16" s="5" t="inlineStr">
        <is>
          <t>data CSVのBOM除去＋読込を utf-8-sig 化、input_builder探索順を&lt;app_root&gt;/tools最優先へ修正。v58で生成成功を確認</t>
        </is>
      </c>
      <c r="F16" s="11" t="inlineStr">
        <is>
          <t>✓</t>
        </is>
      </c>
      <c r="G16" s="5" t="inlineStr">
        <is>
          <t>障害修正 / v5.8</t>
        </is>
      </c>
    </row>
    <row r="17">
      <c r="A17" s="8" t="n">
        <v>14</v>
      </c>
      <c r="B17" s="9" t="inlineStr">
        <is>
          <t>UI/表示</t>
        </is>
      </c>
      <c r="C17" s="13" t="inlineStr">
        <is>
          <t>WR管理</t>
        </is>
      </c>
      <c r="D17" s="9" t="inlineStr">
        <is>
          <t>正極板厚み等の名称が分かりにくい（英語名）</t>
        </is>
      </c>
      <c r="E17" s="9" t="inlineStr">
        <is>
          <t>入力/結果/制約CSVの英語名を日本語化（結果CSV52列を日本語化）</t>
        </is>
      </c>
      <c r="F17" s="10" t="inlineStr">
        <is>
          <t>✓</t>
        </is>
      </c>
      <c r="G17" s="9" t="inlineStr">
        <is>
          <t>ISSUE-002 / v5.7</t>
        </is>
      </c>
    </row>
    <row r="18">
      <c r="A18" s="4" t="n">
        <v>15</v>
      </c>
      <c r="B18" s="5" t="inlineStr">
        <is>
          <t>UI/表示</t>
        </is>
      </c>
      <c r="C18" s="13" t="inlineStr">
        <is>
          <t>WR管理</t>
        </is>
      </c>
      <c r="D18" s="5" t="inlineStr">
        <is>
          <t>Feasible の説明がなく分かりにくい</t>
        </is>
      </c>
      <c r="E18" s="5" t="inlineStr">
        <is>
          <t>凡例に『設計不成立域(白)』等を明示（v5.7で表示済み）</t>
        </is>
      </c>
      <c r="F18" s="11" t="inlineStr">
        <is>
          <t>✓</t>
        </is>
      </c>
      <c r="G18" s="5" t="inlineStr">
        <is>
          <t>ISSUE-003 / v5.7</t>
        </is>
      </c>
    </row>
    <row r="19">
      <c r="A19" s="8" t="n">
        <v>16</v>
      </c>
      <c r="B19" s="9" t="inlineStr">
        <is>
          <t>CSV整合</t>
        </is>
      </c>
      <c r="C19" s="13" t="inlineStr">
        <is>
          <t>WR管理</t>
        </is>
      </c>
      <c r="D19" s="9" t="inlineStr">
        <is>
          <t>制約CSVビューアの単位がゼロ（表示されない）</t>
        </is>
      </c>
      <c r="E19" s="9" t="inlineStr">
        <is>
          <t>_fill_unit で mm/mAh/V/mol/L を補完表示（既対応を確認）</t>
        </is>
      </c>
      <c r="F19" s="10" t="inlineStr">
        <is>
          <t>✓</t>
        </is>
      </c>
      <c r="G19" s="9" t="inlineStr">
        <is>
          <t>ISSUE-004 / v5.7</t>
        </is>
      </c>
    </row>
    <row r="20">
      <c r="A20" s="4" t="n">
        <v>17</v>
      </c>
      <c r="B20" s="5" t="inlineStr">
        <is>
          <t>変遷・比較</t>
        </is>
      </c>
      <c r="C20" s="13" t="inlineStr">
        <is>
          <t>WR管理</t>
        </is>
      </c>
      <c r="D20" s="5" t="inlineStr">
        <is>
          <t>変遷ハイライトの上下限範囲の扱いを分かりやすく</t>
        </is>
      </c>
      <c r="E20" s="5" t="inlineStr">
        <is>
          <t>HTML/Excelで上下限[下限,上限]の増減を▲(赤)/▼(青)チップで強調</t>
        </is>
      </c>
      <c r="F20" s="11" t="inlineStr">
        <is>
          <t>✓</t>
        </is>
      </c>
      <c r="G20" s="5" t="inlineStr">
        <is>
          <t>ISSUE-005 / v5.6</t>
        </is>
      </c>
    </row>
    <row r="21">
      <c r="A21" s="8" t="n">
        <v>18</v>
      </c>
      <c r="B21" s="9" t="inlineStr">
        <is>
          <t>UI/表示</t>
        </is>
      </c>
      <c r="C21" s="13" t="inlineStr">
        <is>
          <t>WR管理</t>
        </is>
      </c>
      <c r="D21" s="9" t="inlineStr">
        <is>
          <t>色分け（橙/白/灰/青）→クリックで青になりCSVデータも紐づくように</t>
        </is>
      </c>
      <c r="E21" s="9" t="inlineStr">
        <is>
          <t>クリックで青＋CSV紐づけ動作を確認</t>
        </is>
      </c>
      <c r="F21" s="10" t="inlineStr">
        <is>
          <t>✓</t>
        </is>
      </c>
      <c r="G21" s="9" t="inlineStr">
        <is>
          <t>ISSUE-006/029 / v5.6</t>
        </is>
      </c>
    </row>
    <row r="22">
      <c r="A22" s="4" t="n">
        <v>19</v>
      </c>
      <c r="B22" s="5" t="inlineStr">
        <is>
          <t>CSV整合</t>
        </is>
      </c>
      <c r="C22" s="13" t="inlineStr">
        <is>
          <t>WR管理</t>
        </is>
      </c>
      <c r="D22" s="5" t="inlineStr">
        <is>
          <r>
            <t xml:space="preserve">CSV3個の出力時刻が現在時刻にならない
</t>
          </r>
          <r>
            <rPr>
              <b val="1"/>
              <color rgb="FFFF0000"/>
            </rPr>
            <t>【安倍確認】「計算結果を見る」からのCSV出力は現在時刻になっているが、「表をCSV出力」では変更なし（未反映）。</t>
          </r>
        </is>
      </c>
      <c r="E22" s="5" t="inlineStr">
        <is>
          <t>_stamp_now で作成/更新日時を生成時刻に統一</t>
        </is>
      </c>
      <c r="F22" s="11" t="inlineStr">
        <is>
          <t>✓</t>
        </is>
      </c>
      <c r="G22" s="5" t="inlineStr">
        <is>
          <t>ISSUE-007 / v5.7</t>
        </is>
      </c>
    </row>
    <row r="23">
      <c r="A23" s="8" t="n">
        <v>20</v>
      </c>
      <c r="B23" s="9" t="inlineStr">
        <is>
          <t>変遷・比較</t>
        </is>
      </c>
      <c r="C23" s="13" t="inlineStr">
        <is>
          <t>WR管理</t>
        </is>
      </c>
      <c r="D23" s="9" t="inlineStr">
        <is>
          <t>多WR比較でどこを変えたか分からない</t>
        </is>
      </c>
      <c r="E23" s="9" t="inlineStr">
        <is>
          <t>変遷ハイライトHTML/Excelで世代間差分を可視化（黄=差分/赤▲増/青▼減）</t>
        </is>
      </c>
      <c r="F23" s="10" t="inlineStr">
        <is>
          <t>✓</t>
        </is>
      </c>
      <c r="G23" s="9" t="inlineStr">
        <is>
          <t>ISSUE-008 / v5.6</t>
        </is>
      </c>
    </row>
    <row r="24">
      <c r="A24" s="4" t="n">
        <v>21</v>
      </c>
      <c r="B24" s="5" t="inlineStr">
        <is>
          <t>外部連携</t>
        </is>
      </c>
      <c r="C24" s="13" t="inlineStr">
        <is>
          <t>WR管理</t>
        </is>
      </c>
      <c r="D24" s="5" t="inlineStr">
        <is>
          <r>
            <t xml:space="preserve">設計シート・巻Simが開けない
</t>
          </r>
          <r>
            <rPr>
              <b val="1"/>
              <color rgb="FFFF0000"/>
            </rPr>
            <t>【安倍確認】パス設定はされていたが、設定されていたパスにファイルが入っていないため、WR管理から設計シート・巻SIMを開くことはできなかった。（※設定→パス設定でマウスのスクロールが反応しない事象も確認。設定画面の他でもスクロールが反応しない箇所あり）</t>
          </r>
        </is>
      </c>
      <c r="E24" s="5" t="inlineStr">
        <is>
          <t>開く機能あり（パス設定に依存）。ユーザー/開発者向けタブで整理</t>
        </is>
      </c>
      <c r="F24" s="14" t="inlineStr">
        <is>
          <t>△</t>
        </is>
      </c>
      <c r="G24" s="5" t="inlineStr">
        <is>
          <t>ISSUE-009 / v5.6</t>
        </is>
      </c>
    </row>
    <row r="25">
      <c r="A25" s="8" t="n">
        <v>22</v>
      </c>
      <c r="B25" s="9" t="inlineStr">
        <is>
          <t>UI/表示</t>
        </is>
      </c>
      <c r="C25" s="13" t="inlineStr">
        <is>
          <t>WR管理</t>
        </is>
      </c>
      <c r="D25" s="9" t="inlineStr">
        <is>
          <t>メイン設定（パス設定）が分かりにくい／要整備</t>
        </is>
      </c>
      <c r="E25" s="9" t="inlineStr">
        <is>
          <t>ユーザー向け/開発者向けタブで整理（さらなる整備は継続）</t>
        </is>
      </c>
      <c r="F25" s="15" t="inlineStr">
        <is>
          <t>△</t>
        </is>
      </c>
      <c r="G25" s="9" t="inlineStr">
        <is>
          <t>ISSUE-010 / v5.6</t>
        </is>
      </c>
    </row>
    <row r="26">
      <c r="A26" s="4" t="n">
        <v>23</v>
      </c>
      <c r="B26" s="5" t="inlineStr">
        <is>
          <t>可視化</t>
        </is>
      </c>
      <c r="C26" s="13" t="inlineStr">
        <is>
          <t>WR管理</t>
        </is>
      </c>
      <c r="D26" s="5" t="inlineStr">
        <is>
          <t>PCP（並行座標プロット）が一発で出ない</t>
        </is>
      </c>
      <c r="E26" s="5" t="inlineStr">
        <is>
          <t>起動時にoptiSLang.ini（SC_ScriptsDirectory）を本版へ自動修復し初回omdbオープンで自動表示。Student版v261で実機確認</t>
        </is>
      </c>
      <c r="F26" s="11" t="inlineStr">
        <is>
          <t>✓</t>
        </is>
      </c>
      <c r="G26" s="5" t="inlineStr">
        <is>
          <t>ISSUE-011 / v5.7</t>
        </is>
      </c>
    </row>
    <row r="27">
      <c r="A27" s="8" t="n">
        <v>24</v>
      </c>
      <c r="B27" s="9" t="inlineStr">
        <is>
          <t>変遷・比較</t>
        </is>
      </c>
      <c r="C27" s="13" t="inlineStr">
        <is>
          <t>WR管理</t>
        </is>
      </c>
      <c r="D27" s="9" t="inlineStr">
        <is>
          <t>変遷ハイライト(HTML)をCSV/Excelでも出力したい</t>
        </is>
      </c>
      <c r="E27" s="9" t="inlineStr">
        <is>
          <t>変遷Excel(.xlsx)出力を追加（HTMLと同じ黄/赤▲/青▼/上下限ハイライトを openpyxl で再現）。系統全体(祖先+自身+子孫)を世代順に出力</t>
        </is>
      </c>
      <c r="F27" s="10" t="inlineStr">
        <is>
          <t>✓</t>
        </is>
      </c>
      <c r="G27" s="9" t="inlineStr">
        <is>
          <t>REQ-W02 / v5.6</t>
        </is>
      </c>
    </row>
    <row r="28">
      <c r="A28" s="4" t="n">
        <v>25</v>
      </c>
      <c r="B28" s="5" t="inlineStr">
        <is>
          <t>結果CSV</t>
        </is>
      </c>
      <c r="C28" s="13" t="inlineStr">
        <is>
          <t>WR管理</t>
        </is>
      </c>
      <c r="D28" s="5" t="inlineStr">
        <is>
          <t>パレート解を結果CSV表に入れたい</t>
        </is>
      </c>
      <c r="E28" s="5" t="inlineStr">
        <is>
          <t>結果CSVに『Pareto』列(●)を付与（objective列で非劣解判定）。CSV結果/ビューア/出力すべてに反映</t>
        </is>
      </c>
      <c r="F28" s="11" t="inlineStr">
        <is>
          <t>✓</t>
        </is>
      </c>
      <c r="G28" s="5" t="inlineStr">
        <is>
          <t>REQ-W03 / v5.6</t>
        </is>
      </c>
    </row>
    <row r="29">
      <c r="A29" s="8" t="n">
        <v>26</v>
      </c>
      <c r="B29" s="9" t="inlineStr">
        <is>
          <t>性能</t>
        </is>
      </c>
      <c r="C29" s="13" t="inlineStr">
        <is>
          <t>WR管理</t>
        </is>
      </c>
      <c r="D29" s="9" t="inlineStr">
        <is>
          <t>1デザイン当たりのCSV出力時間（2000行で何秒か）</t>
        </is>
      </c>
      <c r="E29" s="9" t="inlineStr">
        <is>
          <t>CSVは一括to_csvで2000行≈1秒、Excel検証シート経由はopenpyxlで数秒〜十数秒（確認）</t>
        </is>
      </c>
      <c r="F29" s="10" t="inlineStr">
        <is>
          <t>✓</t>
        </is>
      </c>
      <c r="G29" s="9" t="inlineStr">
        <is>
          <t>REQ-W04 / v5.6</t>
        </is>
      </c>
    </row>
    <row r="30">
      <c r="A30" s="4" t="n">
        <v>27</v>
      </c>
      <c r="B30" s="5" t="inlineStr">
        <is>
          <t>結果CSV</t>
        </is>
      </c>
      <c r="C30" s="13" t="inlineStr">
        <is>
          <t>WR管理</t>
        </is>
      </c>
      <c r="D30" s="5" t="inlineStr">
        <is>
          <r>
            <t xml:space="preserve">結果CSVで選択したデザインを基準点(Ref/Target/任意点)へ反映したい
</t>
          </r>
          <r>
            <rPr>
              <b val="1"/>
              <color rgb="FFFF0000"/>
            </rPr>
            <t>【安倍確認】反映できることは確認できたが、そもそもこの機能・操作方法を知らないと現時点では気づけない機能。</t>
          </r>
        </is>
      </c>
      <c r="E30" s="5" t="inlineStr">
        <is>
          <t>結果ツリー右クリック→反映。①入力からエンジン再計算しε/L/ωAM等を含む全17項目を反映（実画面の結果タブに実装）</t>
        </is>
      </c>
      <c r="F30" s="11" t="inlineStr">
        <is>
          <t>✓</t>
        </is>
      </c>
      <c r="G30" s="5" t="inlineStr">
        <is>
          <t>REQ-W07 / v5.6</t>
        </is>
      </c>
    </row>
    <row r="31">
      <c r="A31" s="8" t="n">
        <v>28</v>
      </c>
      <c r="B31" s="9" t="inlineStr">
        <is>
          <t>WR検索</t>
        </is>
      </c>
      <c r="C31" s="13" t="inlineStr">
        <is>
          <t>WR管理</t>
        </is>
      </c>
      <c r="D31" s="9" t="inlineStr">
        <is>
          <r>
            <t xml:space="preserve">派生元フィルタを増やしたい
</t>
          </r>
          <r>
            <rPr>
              <b val="1"/>
              <color rgb="FFFF0000"/>
            </rPr>
            <t>【安倍確認】確認方法がわかりませんでした。</t>
          </r>
        </is>
      </c>
      <c r="E31" s="9" t="inlineStr">
        <is>
          <t>『派生元/(独立WR)』フィルタを追加後、『派生世代(第0世代(元WR)/第1世代/…)』フィルタへ置換。候補は一覧更新時に実在世代へ自動同期</t>
        </is>
      </c>
      <c r="F31" s="10" t="inlineStr">
        <is>
          <t>✓</t>
        </is>
      </c>
      <c r="G31" s="9" t="inlineStr">
        <is>
          <t>ISSUE-028 / v5.7</t>
        </is>
      </c>
    </row>
    <row r="32">
      <c r="A32" s="4" t="n">
        <v>29</v>
      </c>
      <c r="B32" s="5" t="inlineStr">
        <is>
          <t>配布/メタ管理</t>
        </is>
      </c>
      <c r="C32" s="13" t="inlineStr">
        <is>
          <t>WR管理</t>
        </is>
      </c>
      <c r="D32" s="5" t="inlineStr">
        <is>
          <t>storage上のWRフォルダ（DB未登録・別PC由来）を一覧に取り込みたい</t>
        </is>
      </c>
      <c r="E32" s="5" t="inlineStr">
        <is>
          <t>⚙設定＞WR管理設定に『storageから一括取込み』を追加。runtime/storageの全WRフォルダをDBへ一括登録。各フォルダに_wr_meta.jsonを書出し機種/タイトルまで完全復元。260707-0855等を取込確認</t>
        </is>
      </c>
      <c r="F32" s="11" t="inlineStr">
        <is>
          <t>✓</t>
        </is>
      </c>
      <c r="G32" s="5" t="inlineStr">
        <is>
          <t>storage一括取込み / v5.8</t>
        </is>
      </c>
    </row>
    <row r="33">
      <c r="A33" s="8" t="n">
        <v>30</v>
      </c>
      <c r="B33" s="9" t="inlineStr">
        <is>
          <t>可視化</t>
        </is>
      </c>
      <c r="C33" s="16" t="inlineStr">
        <is>
          <t>2軸グラフ</t>
        </is>
      </c>
      <c r="D33" s="9" t="inlineStr">
        <is>
          <t>正極長さ・正極利用率が軸に無い／y軸に曲路率が無い</t>
        </is>
      </c>
      <c r="E33" s="9" t="inlineStr">
        <is>
          <t>正極板長を軸候補に追加（フル①連成）。曲路率は③出力のためカラー選択可・軸化不可、正極利用率はエンジン外</t>
        </is>
      </c>
      <c r="F33" s="10" t="inlineStr">
        <is>
          <t>✓</t>
        </is>
      </c>
      <c r="G33" s="9" t="inlineStr">
        <is>
          <t>ISSUE-012 / v5.7</t>
        </is>
      </c>
    </row>
    <row r="34">
      <c r="A34" s="4" t="n">
        <v>31</v>
      </c>
      <c r="B34" s="5" t="inlineStr">
        <is>
          <t>UI/表示</t>
        </is>
      </c>
      <c r="C34" s="16" t="inlineStr">
        <is>
          <t>2軸グラフ</t>
        </is>
      </c>
      <c r="D34" s="5" t="inlineStr">
        <is>
          <t>『消費容量』→『W放電時消費量』へ表記変更</t>
        </is>
      </c>
      <c r="E34" s="5" t="inlineStr">
        <is>
          <t>カラー候補を『W放電時消費量』表記に統一</t>
        </is>
      </c>
      <c r="F34" s="11" t="inlineStr">
        <is>
          <t>✓</t>
        </is>
      </c>
      <c r="G34" s="5" t="inlineStr">
        <is>
          <t>ISSUE-013 / v5.7</t>
        </is>
      </c>
    </row>
    <row r="35">
      <c r="A35" s="8" t="n">
        <v>32</v>
      </c>
      <c r="B35" s="9" t="inlineStr">
        <is>
          <t>可視化</t>
        </is>
      </c>
      <c r="C35" s="16" t="inlineStr">
        <is>
          <t>2軸グラフ</t>
        </is>
      </c>
      <c r="D35" s="9" t="inlineStr">
        <is>
          <t>設計不成立域（白）はなくさないでほしい</t>
        </is>
      </c>
      <c r="E35" s="9" t="inlineStr">
        <is>
          <t>白域＝設計不成立域を維持・凡例に明示</t>
        </is>
      </c>
      <c r="F35" s="10" t="inlineStr">
        <is>
          <t>✓</t>
        </is>
      </c>
      <c r="G35" s="9" t="inlineStr">
        <is>
          <t>ISSUE-014 / v5.7</t>
        </is>
      </c>
    </row>
    <row r="36">
      <c r="A36" s="4" t="n">
        <v>33</v>
      </c>
      <c r="B36" s="5" t="inlineStr">
        <is>
          <t>可視化</t>
        </is>
      </c>
      <c r="C36" s="16" t="inlineStr">
        <is>
          <t>2軸グラフ</t>
        </is>
      </c>
      <c r="D36" s="5" t="inlineStr">
        <is>
          <t>閾値を入れた場合に灰色にしないでほしい</t>
        </is>
      </c>
      <c r="E36" s="5" t="inlineStr">
        <is>
          <t>本人指定により対応方針確定</t>
        </is>
      </c>
      <c r="F36" s="7" t="inlineStr">
        <is>
          <t>―</t>
        </is>
      </c>
      <c r="G36" s="5" t="inlineStr">
        <is>
          <t>ISSUE-015 / v5.7</t>
        </is>
      </c>
    </row>
    <row r="37">
      <c r="A37" s="8" t="n">
        <v>34</v>
      </c>
      <c r="B37" s="9" t="inlineStr">
        <is>
          <t>UI/表示</t>
        </is>
      </c>
      <c r="C37" s="16" t="inlineStr">
        <is>
          <t>2軸グラフ</t>
        </is>
      </c>
      <c r="D37" s="9" t="inlineStr">
        <is>
          <t>手動の軸調整が半角数字でないと反映しない</t>
        </is>
      </c>
      <c r="E37" s="9" t="inlineStr">
        <is>
          <t>_zen2han_num で全角→半角変換に対応</t>
        </is>
      </c>
      <c r="F37" s="10" t="inlineStr">
        <is>
          <t>✓</t>
        </is>
      </c>
      <c r="G37" s="9" t="inlineStr">
        <is>
          <t>ISSUE-016 / v5.7</t>
        </is>
      </c>
    </row>
    <row r="38">
      <c r="A38" s="4" t="n">
        <v>35</v>
      </c>
      <c r="B38" s="5" t="inlineStr">
        <is>
          <t>UI/表示</t>
        </is>
      </c>
      <c r="C38" s="16" t="inlineStr">
        <is>
          <t>2軸グラフ</t>
        </is>
      </c>
      <c r="D38" s="5" t="inlineStr">
        <is>
          <t>プロット説明欄がコンター図内にあると邪魔</t>
        </is>
      </c>
      <c r="E38" s="5" t="inlineStr">
        <is>
          <t>『設計OK/NG』注記を既定OFF化（v5.8で当該トグルボタン自体も撤去）</t>
        </is>
      </c>
      <c r="F38" s="11" t="inlineStr">
        <is>
          <t>✓</t>
        </is>
      </c>
      <c r="G38" s="5" t="inlineStr">
        <is>
          <t>ISSUE-017 / v5.7〜5.8</t>
        </is>
      </c>
    </row>
    <row r="39">
      <c r="A39" s="8" t="n">
        <v>36</v>
      </c>
      <c r="B39" s="9" t="inlineStr">
        <is>
          <t>UI/表示</t>
        </is>
      </c>
      <c r="C39" s="16" t="inlineStr">
        <is>
          <t>2軸グラフ</t>
        </is>
      </c>
      <c r="D39" s="9" t="inlineStr">
        <is>
          <t>設計OK/NG領域を可視化するボタンを付ける</t>
        </is>
      </c>
      <c r="E39" s="9" t="inlineStr">
        <is>
          <t>ツールバーにトグルを追加（v5.7）。運用整理により v5.8 で設計OK/NG・寿命曲線ボタンを撤去</t>
        </is>
      </c>
      <c r="F39" s="10" t="inlineStr">
        <is>
          <t>✓</t>
        </is>
      </c>
      <c r="G39" s="9" t="inlineStr">
        <is>
          <t>ISSUE-018 / v5.7〜5.8</t>
        </is>
      </c>
    </row>
    <row r="40">
      <c r="A40" s="4" t="n">
        <v>37</v>
      </c>
      <c r="B40" s="5" t="inlineStr">
        <is>
          <t>可視化</t>
        </is>
      </c>
      <c r="C40" s="16" t="inlineStr">
        <is>
          <t>2軸グラフ</t>
        </is>
      </c>
      <c r="D40" s="5" t="inlineStr">
        <is>
          <t>同系列多数時に第3世代前後まで表示したい</t>
        </is>
      </c>
      <c r="E40" s="5" t="inlineStr">
        <is>
          <t>系統10個超でクリックWRの前後5個程度に自動絞込</t>
        </is>
      </c>
      <c r="F40" s="11" t="inlineStr">
        <is>
          <t>✓</t>
        </is>
      </c>
      <c r="G40" s="5" t="inlineStr">
        <is>
          <t>ISSUE-019 / v5.7</t>
        </is>
      </c>
    </row>
    <row r="41">
      <c r="A41" s="8" t="n">
        <v>38</v>
      </c>
      <c r="B41" s="9" t="inlineStr">
        <is>
          <t>連成計算</t>
        </is>
      </c>
      <c r="C41" s="16" t="inlineStr">
        <is>
          <t>2軸グラフ</t>
        </is>
      </c>
      <c r="D41" s="9" t="inlineStr">
        <is>
          <t>塗布量×初期抵抗で放電後電圧がフラット（塗布量に反応しない）</t>
        </is>
      </c>
      <c r="E41" s="9" t="inlineStr">
        <is>
          <t>K→p_thk逆変換でフル①連成（K/L/eps/a0/cell_typ_ah/cap_2cyc連動）。放電後電圧が塗布量依存で変化(K方向≈0.68V)</t>
        </is>
      </c>
      <c r="F41" s="10" t="inlineStr">
        <is>
          <t>✓</t>
        </is>
      </c>
      <c r="G41" s="9" t="inlineStr">
        <is>
          <t>REQ-W05 / v5.6</t>
        </is>
      </c>
    </row>
    <row r="42">
      <c r="A42" s="4" t="n">
        <v>39</v>
      </c>
      <c r="B42" s="5" t="inlineStr">
        <is>
          <t>連成計算</t>
        </is>
      </c>
      <c r="C42" s="16" t="inlineStr">
        <is>
          <t>2軸グラフ</t>
        </is>
      </c>
      <c r="D42" s="5" t="inlineStr">
        <is>
          <t>K軸をNP比・緊迫率固定で①連成（塗布量スイープ準拠）にしたい</t>
        </is>
      </c>
      <c r="E42" s="5" t="inlineStr">
        <is>
          <t>k_coupling='roll'既定。NP比一定(max-min=7e-16)・基準81でp_len=1880/Typ=3.771・Cli+方向正・全264軸ペアでエラー0を検証</t>
        </is>
      </c>
      <c r="F42" s="11" t="inlineStr">
        <is>
          <t>✓</t>
        </is>
      </c>
      <c r="G42" s="5" t="inlineStr">
        <is>
          <t>REQ-V01 / v5.7</t>
        </is>
      </c>
    </row>
    <row r="43">
      <c r="A43" s="8" t="n">
        <v>40</v>
      </c>
      <c r="B43" s="9" t="inlineStr">
        <is>
          <t>連成計算</t>
        </is>
      </c>
      <c r="C43" s="16" t="inlineStr">
        <is>
          <t>2軸グラフ</t>
        </is>
      </c>
      <c r="D43" s="9" t="inlineStr">
        <is>
          <r>
            <t xml:space="preserve">L軸・ε軸も①連成し放電後電圧を可変にしたい
</t>
          </r>
          <r>
            <rPr>
              <b val="1"/>
              <color rgb="FFFF0000"/>
            </rPr>
            <t>【安倍確認】確認方法がわかりませんでした。</t>
          </r>
        </is>
      </c>
      <c r="E43" s="9" t="inlineStr">
        <is>
          <t>L→p_thk・ε→p_density逆変換で①連成。放電後電圧が可変(L=29%/ε=36%)・NP比一定(4e-16)維持</t>
        </is>
      </c>
      <c r="F43" s="10" t="inlineStr">
        <is>
          <t>✓</t>
        </is>
      </c>
      <c r="G43" s="9" t="inlineStr">
        <is>
          <t>REQ-V02 / v5.7</t>
        </is>
      </c>
    </row>
    <row r="44">
      <c r="A44" s="4" t="n">
        <v>41</v>
      </c>
      <c r="B44" s="5" t="inlineStr">
        <is>
          <t>UI/表示</t>
        </is>
      </c>
      <c r="C44" s="16" t="inlineStr">
        <is>
          <t>2軸グラフ</t>
        </is>
      </c>
      <c r="D44" s="5" t="inlineStr">
        <is>
          <t>既定の投影カラーを放電後電圧にしたい</t>
        </is>
      </c>
      <c r="E44" s="5" t="inlineStr">
        <is>
          <t>既定投影カラーを『放電後電圧』に変更</t>
        </is>
      </c>
      <c r="F44" s="11" t="inlineStr">
        <is>
          <t>✓</t>
        </is>
      </c>
      <c r="G44" s="5" t="inlineStr">
        <is>
          <t>REQ-V03 / v5.7</t>
        </is>
      </c>
    </row>
    <row r="45">
      <c r="A45" s="8" t="n">
        <v>42</v>
      </c>
      <c r="B45" s="9" t="inlineStr">
        <is>
          <t>寿命曲線</t>
        </is>
      </c>
      <c r="C45" s="16" t="inlineStr">
        <is>
          <t>2軸グラフ</t>
        </is>
      </c>
      <c r="D45" s="9" t="inlineStr">
        <is>
          <t>寿命曲線（放電後電圧 vs 保管年数）を出したい</t>
        </is>
      </c>
      <c r="E45" s="9" t="inlineStr">
        <is>
          <t>寿命曲線ボタン(別窓)を追加。放電電力6水準(200〜300W)、制約線=2.5V/5年、基準=21JB_MP仕様案(row87)にR0=4.632mΩ実値で厳密固定。300Wの2.5V到達≈9.0年</t>
        </is>
      </c>
      <c r="F45" s="10" t="inlineStr">
        <is>
          <t>✓</t>
        </is>
      </c>
      <c r="G45" s="9" t="inlineStr">
        <is>
          <t>REQ-V04 / v5.7</t>
        </is>
      </c>
    </row>
    <row r="46">
      <c r="A46" s="4" t="n">
        <v>43</v>
      </c>
      <c r="B46" s="5" t="inlineStr">
        <is>
          <t>可視化</t>
        </is>
      </c>
      <c r="C46" s="16" t="inlineStr">
        <is>
          <t>2軸グラフ</t>
        </is>
      </c>
      <c r="D46" s="5" t="inlineStr">
        <is>
          <r>
            <t xml:space="preserve">2軸以外の固定パラメータを前提として表示したい
</t>
          </r>
          <r>
            <rPr>
              <b val="1"/>
              <color rgb="FFFF0000"/>
            </rPr>
            <t>【安倍確認】2軸グラフ内の前提パラメータも同様にスクロールできない。またTargetが見切れている。表示画面の範囲を拡大すると映るが、縮小すると見切れるため、左右へスクロールできるようにしてほしい。</t>
          </r>
        </is>
      </c>
      <c r="E46" s="5" t="inlineStr">
        <is>
          <t>軸範囲直下に前提パラメータ表(Ref/Target別17項目)を追加。軸変更・Ref/Target編集で自動更新</t>
        </is>
      </c>
      <c r="F46" s="11" t="inlineStr">
        <is>
          <t>✓</t>
        </is>
      </c>
      <c r="G46" s="5" t="inlineStr">
        <is>
          <t>REQ-W06 / v5.6</t>
        </is>
      </c>
    </row>
    <row r="47">
      <c r="A47" s="8" t="n">
        <v>44</v>
      </c>
      <c r="B47" s="9" t="inlineStr">
        <is>
          <t>UI/表示</t>
        </is>
      </c>
      <c r="C47" s="16" t="inlineStr">
        <is>
          <t>2軸グラフ</t>
        </is>
      </c>
      <c r="D47" s="9" t="inlineStr">
        <is>
          <t>左設定領域がビジー（青字注記が邪魔）</t>
        </is>
      </c>
      <c r="E47" s="9" t="inlineStr">
        <is>
          <t>DoE範囲の青字注記を削除しフォント縮小で余白確保</t>
        </is>
      </c>
      <c r="F47" s="10" t="inlineStr">
        <is>
          <t>✓</t>
        </is>
      </c>
      <c r="G47" s="9" t="inlineStr">
        <is>
          <t>REQ-W09 / v5.6</t>
        </is>
      </c>
    </row>
    <row r="48">
      <c r="A48" s="4" t="n">
        <v>45</v>
      </c>
      <c r="B48" s="5" t="inlineStr">
        <is>
          <t>UI/表示</t>
        </is>
      </c>
      <c r="C48" s="16" t="inlineStr">
        <is>
          <t>2軸グラフ</t>
        </is>
      </c>
      <c r="D48" s="5" t="inlineStr">
        <is>
          <t>前提パラメータ表のフォントが化ける／点が増えると表が収まらない</t>
        </is>
      </c>
      <c r="E48" s="5" t="inlineStr">
        <is>
          <t>前提パラメータ表をtkグリッド化しフォントをBIZ UDPゴシックへ統一。注釈に『表示する点』選択を追加（永続化）</t>
        </is>
      </c>
      <c r="F48" s="11" t="inlineStr">
        <is>
          <t>✓</t>
        </is>
      </c>
      <c r="G48" s="5" t="inlineStr">
        <is>
          <t>要望D/E / v5.7</t>
        </is>
      </c>
    </row>
    <row r="49">
      <c r="A49" s="8" t="n">
        <v>46</v>
      </c>
      <c r="B49" s="9" t="inlineStr">
        <is>
          <t>障害修正</t>
        </is>
      </c>
      <c r="C49" s="16" t="inlineStr">
        <is>
          <t>2軸グラフ</t>
        </is>
      </c>
      <c r="D49" s="9" t="inlineStr">
        <is>
          <r>
            <t xml:space="preserve">（潜在）matplotlib 3.9+ で寿命曲線の色分けが失われる
</t>
          </r>
          <r>
            <rPr>
              <b val="1"/>
              <color rgb="FFFF0000"/>
            </rPr>
            <t>【安倍確認】確認方法がわかりませんでした。</t>
          </r>
        </is>
      </c>
      <c r="E49" s="9" t="inlineStr">
        <is>
          <t>廃止 cm.get_cmap を colormaps API へ移行</t>
        </is>
      </c>
      <c r="F49" s="10" t="inlineStr">
        <is>
          <t>✓</t>
        </is>
      </c>
      <c r="G49" s="9" t="inlineStr">
        <is>
          <t>v5.7</t>
        </is>
      </c>
    </row>
    <row r="50">
      <c r="A50" s="4" t="n">
        <v>47</v>
      </c>
      <c r="B50" s="5" t="inlineStr">
        <is>
          <t>障害修正</t>
        </is>
      </c>
      <c r="C50" s="16" t="inlineStr">
        <is>
          <t>2軸グラフ</t>
        </is>
      </c>
      <c r="D50" s="5" t="inlineStr">
        <is>
          <t>基準点名 Ref(D0.3) 等の表記ゆれで参照が一致しないことがある</t>
        </is>
      </c>
      <c r="E50" s="5" t="inlineStr">
        <is>
          <t>Ref点名を正規化（`Ref(...)`→`Ref`）</t>
        </is>
      </c>
      <c r="F50" s="11" t="inlineStr">
        <is>
          <t>✓</t>
        </is>
      </c>
      <c r="G50" s="5" t="inlineStr">
        <is>
          <t>Ref正規化 / v5.8</t>
        </is>
      </c>
    </row>
    <row r="51">
      <c r="A51" s="8" t="n">
        <v>48</v>
      </c>
      <c r="B51" s="9" t="inlineStr">
        <is>
          <t>真値整合</t>
        </is>
      </c>
      <c r="C51" s="17" t="inlineStr">
        <is>
          <t>全般</t>
        </is>
      </c>
      <c r="D51" s="9" t="inlineStr">
        <is>
          <r>
            <t xml:space="preserve">同梱dc_v5_coreとDC_v5/Excelの数値差（R0で0.126%乖離）を解消したい
</t>
          </r>
          <r>
            <rPr>
              <b val="1"/>
              <color rgb="FFFF0000"/>
            </rPr>
            <t>【安倍確認】確認方法がわかりませんでした。</t>
          </r>
        </is>
      </c>
      <c r="E51" s="9" t="inlineStr">
        <is>
          <t>①同梱dc_v5_coreをDC_v5と同期（OCV_pred差替/DCIRマップ文字化け修復/巻Simアクタ同梱）。R0 4.6378→4.631923mΩでDC_v5/Excelと機械精度一致</t>
        </is>
      </c>
      <c r="F51" s="10" t="inlineStr">
        <is>
          <t>✓</t>
        </is>
      </c>
      <c r="G51" s="9" t="inlineStr">
        <is>
          <t>真値整合① / v5.7</t>
        </is>
      </c>
    </row>
    <row r="52">
      <c r="A52" s="4" t="n">
        <v>49</v>
      </c>
      <c r="B52" s="5" t="inlineStr">
        <is>
          <t>真値整合</t>
        </is>
      </c>
      <c r="C52" s="17" t="inlineStr">
        <is>
          <t>全般</t>
        </is>
      </c>
      <c r="D52" s="5" t="inlineStr">
        <is>
          <r>
            <t xml:space="preserve">正極利用率校正の整合（容量がマスター比でずれる）
</t>
          </r>
          <r>
            <rPr>
              <b val="1"/>
              <color rgb="FFFF0000"/>
            </rPr>
            <t>【安倍確認】確認方法がわかりませんでした。</t>
          </r>
        </is>
      </c>
      <c r="E52" s="5" t="inlineStr">
        <is>
          <t>②pos_util_delta_v_neg_fitted -0.0737→-0.074035（両ツリー+celldesign_vec同値）。容量 -0.0057%、celldesign_vecがエンジンと12桁一致</t>
        </is>
      </c>
      <c r="F52" s="11" t="inlineStr">
        <is>
          <t>✓</t>
        </is>
      </c>
      <c r="G52" s="5" t="inlineStr">
        <is>
          <t>真値整合② / v5.7</t>
        </is>
      </c>
    </row>
    <row r="53">
      <c r="A53" s="8" t="n">
        <v>50</v>
      </c>
      <c r="B53" s="9" t="inlineStr">
        <is>
          <t>真値整合</t>
        </is>
      </c>
      <c r="C53" s="17" t="inlineStr">
        <is>
          <t>全般</t>
        </is>
      </c>
      <c r="D53" s="9" t="inlineStr">
        <is>
          <r>
            <t xml:space="preserve">緊迫率をマスター緊迫率計算シート式へ整合
</t>
          </r>
          <r>
            <rPr>
              <b val="1"/>
              <color rgb="FFFF0000"/>
            </rPr>
            <t>【安倍確認】確認方法がわかりませんでした。</t>
          </r>
        </is>
      </c>
      <c r="E53" s="9" t="inlineStr">
        <is>
          <t>③最外周テープ断面積加算→D31群径+0.066mm直径加算へ。Packing 100.8727→100.886901・r 0.000239→0.00024。緊迫率±0%・p_len=1880を厳密復元</t>
        </is>
      </c>
      <c r="F53" s="10" t="inlineStr">
        <is>
          <t>✓</t>
        </is>
      </c>
      <c r="G53" s="9" t="inlineStr">
        <is>
          <t>真値整合③ / v5.7</t>
        </is>
      </c>
    </row>
    <row r="54">
      <c r="A54" s="4" t="n">
        <v>51</v>
      </c>
      <c r="B54" s="5" t="inlineStr">
        <is>
          <t>真値整合</t>
        </is>
      </c>
      <c r="C54" s="17" t="inlineStr">
        <is>
          <t>全般</t>
        </is>
      </c>
      <c r="D54" s="5" t="inlineStr">
        <is>
          <r>
            <t xml:space="preserve">3者（アプリ/マスターxlsm/optiSLang）の整合を検証・記録したい
</t>
          </r>
          <r>
            <rPr>
              <b val="1"/>
              <color rgb="FFFF0000"/>
            </rPr>
            <t>【安倍確認】確認方法がわかりませんでした。</t>
          </r>
        </is>
      </c>
      <c r="E54" s="5" t="inlineStr">
        <is>
          <t>セル設計(機械精度)/巻Sim(≤0.00013%)/R0=4.631923mΩ全桁一致/a0(0.001%)/DC指標row87(R0=0.004632指定)全10出力rel≤1.8e-9。基準WR 260705-2345を生成</t>
        </is>
      </c>
      <c r="F54" s="11" t="inlineStr">
        <is>
          <t>✓</t>
        </is>
      </c>
      <c r="G54" s="5" t="inlineStr">
        <is>
          <t>真値整合検証 / v5.7</t>
        </is>
      </c>
    </row>
    <row r="55">
      <c r="A55" s="8" t="n">
        <v>52</v>
      </c>
      <c r="B55" s="9" t="inlineStr">
        <is>
          <t>GUI/DPI</t>
        </is>
      </c>
      <c r="C55" s="17" t="inlineStr">
        <is>
          <t>全般</t>
        </is>
      </c>
      <c r="D55" s="9" t="inlineStr">
        <is>
          <r>
            <t xml:space="preserve">分解能変化でGUIが崩れる／変換文字が小さい
</t>
          </r>
          <r>
            <rPr>
              <b val="1"/>
              <color rgb="FFFF0000"/>
            </rPr>
            <t>【安倍確認】確認方法がわかりませんでした。</t>
          </r>
        </is>
      </c>
      <c r="E55" s="9" t="inlineStr">
        <is>
          <t>DPI awareness有効化で緩和。根治（動的スケーリング）は中長期</t>
        </is>
      </c>
      <c r="F55" s="15" t="inlineStr">
        <is>
          <t>△</t>
        </is>
      </c>
      <c r="G55" s="9" t="inlineStr">
        <is>
          <t>ISSUE-024/025 / v5.7</t>
        </is>
      </c>
    </row>
    <row r="56">
      <c r="A56" s="4" t="n">
        <v>53</v>
      </c>
      <c r="B56" s="5" t="inlineStr">
        <is>
          <t>障害修正</t>
        </is>
      </c>
      <c r="C56" s="17" t="inlineStr">
        <is>
          <t>全般</t>
        </is>
      </c>
      <c r="D56" s="5" t="inlineStr">
        <is>
          <t>起動時に文字コード（cp932）warningが出る</t>
        </is>
      </c>
      <c r="E56" s="5" t="inlineStr">
        <is>
          <t>log()のprintをtry/exceptでラップしcp932非対応文字を安全化</t>
        </is>
      </c>
      <c r="F56" s="11" t="inlineStr">
        <is>
          <t>✓</t>
        </is>
      </c>
      <c r="G56" s="5" t="inlineStr">
        <is>
          <t>v5.8</t>
        </is>
      </c>
    </row>
    <row r="57">
      <c r="A57" s="8" t="n">
        <v>54</v>
      </c>
      <c r="B57" s="9" t="inlineStr">
        <is>
          <t>配布/メタ管理</t>
        </is>
      </c>
      <c r="C57" s="17" t="inlineStr">
        <is>
          <t>全般</t>
        </is>
      </c>
      <c r="D57" s="9" t="inlineStr">
        <is>
          <t>本番PCへ変化点を安全に配布したい（bat/ps1のDLブロック・DB保護）</t>
        </is>
      </c>
      <c r="E57" s="9" t="inlineStr">
        <is>
          <t>v56→v58差分zip（10MB以下・bat/ps1は.txt化・本番WR/DB除外、_wr_meta.jsonのみ収録）とG:バックアップを整備</t>
        </is>
      </c>
      <c r="F57" s="10" t="inlineStr">
        <is>
          <t>✓</t>
        </is>
      </c>
      <c r="G57" s="9" t="inlineStr">
        <is>
          <t>配布 / v5.8</t>
        </is>
      </c>
    </row>
  </sheetData>
  <autoFilter ref="A3:G57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9" customWidth="1" min="5" max="5"/>
    <col width="9" customWidth="1" min="6" max="6"/>
  </cols>
  <sheetData>
    <row r="1">
      <c r="A1" s="18" t="inlineStr">
        <is>
          <t>集計（該当タブ × 完了状況）</t>
        </is>
      </c>
    </row>
    <row r="3">
      <c r="A3" s="19" t="inlineStr">
        <is>
          <t>該当タブ</t>
        </is>
      </c>
      <c r="B3" s="19" t="inlineStr">
        <is>
          <t>✓ 完了</t>
        </is>
      </c>
      <c r="C3" s="19" t="inlineStr">
        <is>
          <t>△ 部分</t>
        </is>
      </c>
      <c r="D3" s="19" t="inlineStr">
        <is>
          <t>▷ 中長期</t>
        </is>
      </c>
      <c r="E3" s="19" t="inlineStr">
        <is>
          <t>― 不要</t>
        </is>
      </c>
      <c r="F3" s="19" t="inlineStr">
        <is>
          <t>合計</t>
        </is>
      </c>
    </row>
    <row r="4">
      <c r="A4" s="20" t="inlineStr">
        <is>
          <t>新規実行</t>
        </is>
      </c>
      <c r="B4" s="21">
        <f>COUNTIFS('改善要望リスト'!$C$4:$C$57,$A4,'改善要望リスト'!$F$4:$F$57,"✓")</f>
        <v/>
      </c>
      <c r="C4" s="21">
        <f>COUNTIFS('改善要望リスト'!$C$4:$C$57,$A4,'改善要望リスト'!$F$4:$F$57,"△")</f>
        <v/>
      </c>
      <c r="D4" s="21">
        <f>COUNTIFS('改善要望リスト'!$C$4:$C$57,$A4,'改善要望リスト'!$F$4:$F$57,"▷")</f>
        <v/>
      </c>
      <c r="E4" s="21">
        <f>COUNTIFS('改善要望リスト'!$C$4:$C$57,$A4,'改善要望リスト'!$F$4:$F$57,"―")</f>
        <v/>
      </c>
      <c r="F4" s="21">
        <f>COUNTIF('改善要望リスト'!$C$4:$C$57,$A4)</f>
        <v/>
      </c>
    </row>
    <row r="5">
      <c r="A5" s="22" t="inlineStr">
        <is>
          <t>WR管理</t>
        </is>
      </c>
      <c r="B5" s="21">
        <f>COUNTIFS('改善要望リスト'!$C$4:$C$57,$A5,'改善要望リスト'!$F$4:$F$57,"✓")</f>
        <v/>
      </c>
      <c r="C5" s="21">
        <f>COUNTIFS('改善要望リスト'!$C$4:$C$57,$A5,'改善要望リスト'!$F$4:$F$57,"△")</f>
        <v/>
      </c>
      <c r="D5" s="21">
        <f>COUNTIFS('改善要望リスト'!$C$4:$C$57,$A5,'改善要望リスト'!$F$4:$F$57,"▷")</f>
        <v/>
      </c>
      <c r="E5" s="21">
        <f>COUNTIFS('改善要望リスト'!$C$4:$C$57,$A5,'改善要望リスト'!$F$4:$F$57,"―")</f>
        <v/>
      </c>
      <c r="F5" s="21">
        <f>COUNTIF('改善要望リスト'!$C$4:$C$57,$A5)</f>
        <v/>
      </c>
    </row>
    <row r="6">
      <c r="A6" s="23" t="inlineStr">
        <is>
          <t>2軸グラフ</t>
        </is>
      </c>
      <c r="B6" s="21">
        <f>COUNTIFS('改善要望リスト'!$C$4:$C$57,$A6,'改善要望リスト'!$F$4:$F$57,"✓")</f>
        <v/>
      </c>
      <c r="C6" s="21">
        <f>COUNTIFS('改善要望リスト'!$C$4:$C$57,$A6,'改善要望リスト'!$F$4:$F$57,"△")</f>
        <v/>
      </c>
      <c r="D6" s="21">
        <f>COUNTIFS('改善要望リスト'!$C$4:$C$57,$A6,'改善要望リスト'!$F$4:$F$57,"▷")</f>
        <v/>
      </c>
      <c r="E6" s="21">
        <f>COUNTIFS('改善要望リスト'!$C$4:$C$57,$A6,'改善要望リスト'!$F$4:$F$57,"―")</f>
        <v/>
      </c>
      <c r="F6" s="21">
        <f>COUNTIF('改善要望リスト'!$C$4:$C$57,$A6)</f>
        <v/>
      </c>
    </row>
    <row r="7">
      <c r="A7" s="24" t="inlineStr">
        <is>
          <t>全般</t>
        </is>
      </c>
      <c r="B7" s="21">
        <f>COUNTIFS('改善要望リスト'!$C$4:$C$57,$A7,'改善要望リスト'!$F$4:$F$57,"✓")</f>
        <v/>
      </c>
      <c r="C7" s="21">
        <f>COUNTIFS('改善要望リスト'!$C$4:$C$57,$A7,'改善要望リスト'!$F$4:$F$57,"△")</f>
        <v/>
      </c>
      <c r="D7" s="21">
        <f>COUNTIFS('改善要望リスト'!$C$4:$C$57,$A7,'改善要望リスト'!$F$4:$F$57,"▷")</f>
        <v/>
      </c>
      <c r="E7" s="21">
        <f>COUNTIFS('改善要望リスト'!$C$4:$C$57,$A7,'改善要望リスト'!$F$4:$F$57,"―")</f>
        <v/>
      </c>
      <c r="F7" s="21">
        <f>COUNTIF('改善要望リスト'!$C$4:$C$57,$A7)</f>
        <v/>
      </c>
    </row>
    <row r="8">
      <c r="A8" s="25" t="inlineStr">
        <is>
          <t>合計</t>
        </is>
      </c>
      <c r="B8" s="26">
        <f>SUM(B4:B7)</f>
        <v/>
      </c>
      <c r="C8" s="26">
        <f>SUM(C4:C7)</f>
        <v/>
      </c>
      <c r="D8" s="26">
        <f>SUM(D4:D7)</f>
        <v/>
      </c>
      <c r="E8" s="26">
        <f>SUM(E4:E7)</f>
        <v/>
      </c>
      <c r="F8" s="26">
        <f>SUM(F4:F7)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2026-07-07T01:39:52Z</dcterms:created>
  <dcterms:modified xsi:type="dcterms:W3CDTF">2026-07-08T10:09:46Z</dcterms:modified>
</cp:coreProperties>
</file>